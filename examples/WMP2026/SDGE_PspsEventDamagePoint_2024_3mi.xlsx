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jwm/Work/WEEDS/Calculations/mbar-weather/examples/WMP2026/"/>
    </mc:Choice>
  </mc:AlternateContent>
  <xr:revisionPtr revIDLastSave="0" documentId="8_{94C7D1E8-2E76-2D40-B49F-2C972DF9482A}" xr6:coauthVersionLast="47" xr6:coauthVersionMax="47" xr10:uidLastSave="{00000000-0000-0000-0000-000000000000}"/>
  <bookViews>
    <workbookView xWindow="3300" yWindow="2100" windowWidth="29760" windowHeight="10840" activeTab="1" xr2:uid="{00000000-000D-0000-FFFF-FFFF00000000}"/>
  </bookViews>
  <sheets>
    <sheet name="SDGE_PspsEventDamagePoint_2024" sheetId="1" r:id="rId1"/>
    <sheet name="SDGE24WIND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2" l="1"/>
  <c r="X10" i="2"/>
  <c r="X9" i="2"/>
  <c r="X8" i="2"/>
  <c r="X7" i="2"/>
  <c r="X6" i="2"/>
  <c r="X5" i="2"/>
  <c r="X4" i="2"/>
  <c r="X3" i="2"/>
  <c r="X2" i="2"/>
</calcChain>
</file>

<file path=xl/sharedStrings.xml><?xml version="1.0" encoding="utf-8"?>
<sst xmlns="http://schemas.openxmlformats.org/spreadsheetml/2006/main" count="280" uniqueCount="87">
  <si>
    <t>OBJECTID</t>
  </si>
  <si>
    <t>DamageEventID</t>
  </si>
  <si>
    <t>EventID</t>
  </si>
  <si>
    <t>UtilityID</t>
  </si>
  <si>
    <t>NumberRelatedRecords</t>
  </si>
  <si>
    <t>DamageDateTime</t>
  </si>
  <si>
    <t>FuelBedDescription</t>
  </si>
  <si>
    <t>FuelBedDescriptionComment</t>
  </si>
  <si>
    <t>HFTDClass</t>
  </si>
  <si>
    <t>CircuitName</t>
  </si>
  <si>
    <t>PoleID</t>
  </si>
  <si>
    <t>AssetType</t>
  </si>
  <si>
    <t>County</t>
  </si>
  <si>
    <t>Confidential</t>
  </si>
  <si>
    <t>POINT_X</t>
  </si>
  <si>
    <t>POINT_Y</t>
  </si>
  <si>
    <t>20241210-1400-P710840</t>
  </si>
  <si>
    <t>PSPS_2024_Dec_09_11</t>
  </si>
  <si>
    <t>SDG&amp;E</t>
  </si>
  <si>
    <t>Brush fuel model</t>
  </si>
  <si>
    <t>Tier 2</t>
  </si>
  <si>
    <t>450</t>
  </si>
  <si>
    <t>P710840</t>
  </si>
  <si>
    <t>Support Structure</t>
  </si>
  <si>
    <t>Northeast</t>
  </si>
  <si>
    <t>No</t>
  </si>
  <si>
    <t>20241211-1000-P376436</t>
  </si>
  <si>
    <t>Tier 3</t>
  </si>
  <si>
    <t>79</t>
  </si>
  <si>
    <t>P376436</t>
  </si>
  <si>
    <t>Mountain Empire</t>
  </si>
  <si>
    <t>20241211-0830-239-1268</t>
  </si>
  <si>
    <t xml:space="preserve">Fire-resistive fuel bed </t>
  </si>
  <si>
    <t>239</t>
  </si>
  <si>
    <t>P213996</t>
  </si>
  <si>
    <t>Transformer</t>
  </si>
  <si>
    <t>20241211-0845-P119515</t>
  </si>
  <si>
    <t>Grass fuel model</t>
  </si>
  <si>
    <t>1250</t>
  </si>
  <si>
    <t>P119515</t>
  </si>
  <si>
    <t>20241211-0800-P419391</t>
  </si>
  <si>
    <t>972</t>
  </si>
  <si>
    <t>P419391</t>
  </si>
  <si>
    <t>Ramona</t>
  </si>
  <si>
    <t>20241211-1000-P516439</t>
  </si>
  <si>
    <t>236</t>
  </si>
  <si>
    <t>P516439</t>
  </si>
  <si>
    <t>20241211-0800-P78896</t>
  </si>
  <si>
    <t>1458</t>
  </si>
  <si>
    <t>P78896</t>
  </si>
  <si>
    <t>Eastern</t>
  </si>
  <si>
    <t>20241211-0800-P78880</t>
  </si>
  <si>
    <t>P78880</t>
  </si>
  <si>
    <t>20241211-1345-P166012</t>
  </si>
  <si>
    <t>JU1</t>
  </si>
  <si>
    <t>P166012</t>
  </si>
  <si>
    <t>20241211-0800-P179023</t>
  </si>
  <si>
    <t>P179023</t>
  </si>
  <si>
    <t>ESCSD</t>
  </si>
  <si>
    <t>139</t>
  </si>
  <si>
    <t>2024-12-10T12:50:00Z</t>
  </si>
  <si>
    <t>BOCSD</t>
  </si>
  <si>
    <t>2024-12-10T16:30:00Z</t>
  </si>
  <si>
    <t>FBKSD</t>
  </si>
  <si>
    <t>2024-12-10T09:10:00Z</t>
  </si>
  <si>
    <t>WRBSD</t>
  </si>
  <si>
    <t>2024-12-10T17:50:00Z</t>
  </si>
  <si>
    <t>HVYSD</t>
  </si>
  <si>
    <t>2024-12-10T19:30:00Z</t>
  </si>
  <si>
    <t>SOSSD</t>
  </si>
  <si>
    <t>2024-12-10T18:20:00Z</t>
  </si>
  <si>
    <t>EWRSD</t>
  </si>
  <si>
    <t>WYNSD</t>
  </si>
  <si>
    <t>2024-12-10T14:20:00Z</t>
  </si>
  <si>
    <t>Cause</t>
  </si>
  <si>
    <t>Object - Telco</t>
  </si>
  <si>
    <t>Crossarm</t>
  </si>
  <si>
    <t>Transformer - Leak</t>
  </si>
  <si>
    <t>Vegetation - Blow-in</t>
  </si>
  <si>
    <t>Guy</t>
  </si>
  <si>
    <t>Station</t>
  </si>
  <si>
    <t>Mesonet</t>
  </si>
  <si>
    <t>MaxMiles</t>
  </si>
  <si>
    <t>MaxDateTime</t>
  </si>
  <si>
    <t>GustMax</t>
  </si>
  <si>
    <t>Measurements</t>
  </si>
  <si>
    <t>Mean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</si>
</sst>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"/>
    <numFmt numFmtId="165" formatCode="yyyy\-mm\-dd\ h:mm:ss"/>
    <numFmt numFmtId="166" formatCode="0.0"/>
  </numFmts>
  <fonts count="5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" fontId="2" fillId="0" borderId="0" xfId="0" applyNumberFormat="1" applyFont="1"/>
    <xf numFmtId="0" fontId="3" fillId="0" borderId="0" xfId="0" applyFont="1"/>
    <xf numFmtId="164" fontId="4" fillId="0" borderId="0" xfId="0" applyNumberFormat="1" applyFont="1"/>
    <xf numFmtId="165" fontId="0" fillId="0" borderId="0" xfId="0" applyNumberFormat="1"/>
    <xf numFmtId="0" fontId="2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1"/>
  <sheetViews>
    <sheetView topLeftCell="M1" workbookViewId="0">
      <pane ySplit="1" topLeftCell="A2" activePane="bottomLeft" state="frozen"/>
      <selection pane="bottomLeft"/>
    </sheetView>
  </sheetViews>
  <sheetFormatPr baseColWidth="10" defaultRowHeight="13" x14ac:dyDescent="0.15"/>
  <cols>
    <col min="1" max="1" width="16" customWidth="1"/>
    <col min="2" max="3" width="50" customWidth="1"/>
    <col min="4" max="4" width="10" customWidth="1"/>
    <col min="5" max="6" width="16" customWidth="1"/>
    <col min="7" max="8" width="50" customWidth="1"/>
    <col min="9" max="9" width="10" customWidth="1"/>
    <col min="10" max="14" width="50" customWidth="1"/>
    <col min="15" max="16" width="16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15">
      <c r="A2" s="2">
        <v>1</v>
      </c>
      <c r="B2" s="3" t="s">
        <v>16</v>
      </c>
      <c r="C2" s="3" t="s">
        <v>17</v>
      </c>
      <c r="D2" s="3" t="s">
        <v>18</v>
      </c>
      <c r="E2" s="2">
        <v>1</v>
      </c>
      <c r="F2" s="4">
        <v>45636.583333333343</v>
      </c>
      <c r="G2" s="3" t="s">
        <v>19</v>
      </c>
      <c r="H2" s="3"/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>
        <v>-117.0878246999999</v>
      </c>
      <c r="P2" s="3">
        <v>33.185158300000069</v>
      </c>
    </row>
    <row r="3" spans="1:16" x14ac:dyDescent="0.15">
      <c r="A3" s="2">
        <v>2</v>
      </c>
      <c r="B3" s="3" t="s">
        <v>26</v>
      </c>
      <c r="C3" s="3" t="s">
        <v>17</v>
      </c>
      <c r="D3" s="3" t="s">
        <v>18</v>
      </c>
      <c r="E3" s="2">
        <v>1</v>
      </c>
      <c r="F3" s="4">
        <v>45637.416666666657</v>
      </c>
      <c r="G3" s="3" t="s">
        <v>19</v>
      </c>
      <c r="H3" s="3"/>
      <c r="I3" s="3" t="s">
        <v>27</v>
      </c>
      <c r="J3" s="3" t="s">
        <v>28</v>
      </c>
      <c r="K3" s="3" t="s">
        <v>29</v>
      </c>
      <c r="L3" s="3" t="s">
        <v>23</v>
      </c>
      <c r="M3" s="3" t="s">
        <v>30</v>
      </c>
      <c r="N3" s="3" t="s">
        <v>25</v>
      </c>
      <c r="O3" s="3">
        <v>-116.63512469999991</v>
      </c>
      <c r="P3" s="3">
        <v>32.905702900000051</v>
      </c>
    </row>
    <row r="4" spans="1:16" x14ac:dyDescent="0.15">
      <c r="A4" s="2">
        <v>3</v>
      </c>
      <c r="B4" s="3" t="s">
        <v>31</v>
      </c>
      <c r="C4" s="3" t="s">
        <v>17</v>
      </c>
      <c r="D4" s="3" t="s">
        <v>18</v>
      </c>
      <c r="E4" s="2">
        <v>1</v>
      </c>
      <c r="F4" s="4">
        <v>45637.354166666657</v>
      </c>
      <c r="G4" s="3" t="s">
        <v>32</v>
      </c>
      <c r="H4" s="3"/>
      <c r="I4" s="3" t="s">
        <v>27</v>
      </c>
      <c r="J4" s="3" t="s">
        <v>33</v>
      </c>
      <c r="K4" s="3" t="s">
        <v>34</v>
      </c>
      <c r="L4" s="3" t="s">
        <v>35</v>
      </c>
      <c r="M4" s="3" t="s">
        <v>24</v>
      </c>
      <c r="N4" s="3" t="s">
        <v>25</v>
      </c>
      <c r="O4" s="3">
        <v>-117.15173159999991</v>
      </c>
      <c r="P4" s="3">
        <v>33.331880100000028</v>
      </c>
    </row>
    <row r="5" spans="1:16" x14ac:dyDescent="0.15">
      <c r="A5" s="2">
        <v>4</v>
      </c>
      <c r="B5" s="3" t="s">
        <v>36</v>
      </c>
      <c r="C5" s="3" t="s">
        <v>17</v>
      </c>
      <c r="D5" s="3" t="s">
        <v>18</v>
      </c>
      <c r="E5" s="2">
        <v>1</v>
      </c>
      <c r="F5" s="4">
        <v>45637.364583333343</v>
      </c>
      <c r="G5" s="3" t="s">
        <v>37</v>
      </c>
      <c r="H5" s="3"/>
      <c r="I5" s="3" t="s">
        <v>20</v>
      </c>
      <c r="J5" s="3" t="s">
        <v>38</v>
      </c>
      <c r="K5" s="3" t="s">
        <v>39</v>
      </c>
      <c r="L5" s="3" t="s">
        <v>23</v>
      </c>
      <c r="M5" s="3" t="s">
        <v>24</v>
      </c>
      <c r="N5" s="3" t="s">
        <v>25</v>
      </c>
      <c r="O5" s="3">
        <v>-117.136244101</v>
      </c>
      <c r="P5" s="3">
        <v>33.059590100000037</v>
      </c>
    </row>
    <row r="6" spans="1:16" x14ac:dyDescent="0.15">
      <c r="A6" s="2">
        <v>5</v>
      </c>
      <c r="B6" s="3" t="s">
        <v>40</v>
      </c>
      <c r="C6" s="3" t="s">
        <v>17</v>
      </c>
      <c r="D6" s="3" t="s">
        <v>18</v>
      </c>
      <c r="E6" s="2">
        <v>1</v>
      </c>
      <c r="F6" s="4">
        <v>45637.333333333343</v>
      </c>
      <c r="G6" s="3" t="s">
        <v>37</v>
      </c>
      <c r="H6" s="3"/>
      <c r="I6" s="3" t="s">
        <v>20</v>
      </c>
      <c r="J6" s="3" t="s">
        <v>41</v>
      </c>
      <c r="K6" s="3" t="s">
        <v>42</v>
      </c>
      <c r="L6" s="3" t="s">
        <v>23</v>
      </c>
      <c r="M6" s="3" t="s">
        <v>43</v>
      </c>
      <c r="N6" s="3" t="s">
        <v>25</v>
      </c>
      <c r="O6" s="3">
        <v>-116.8914588</v>
      </c>
      <c r="P6" s="3">
        <v>33.02154900000005</v>
      </c>
    </row>
    <row r="7" spans="1:16" x14ac:dyDescent="0.15">
      <c r="A7" s="2">
        <v>6</v>
      </c>
      <c r="B7" s="3" t="s">
        <v>44</v>
      </c>
      <c r="C7" s="3" t="s">
        <v>17</v>
      </c>
      <c r="D7" s="3" t="s">
        <v>18</v>
      </c>
      <c r="E7" s="2">
        <v>1</v>
      </c>
      <c r="F7" s="4">
        <v>45637.416666666657</v>
      </c>
      <c r="G7" s="3" t="s">
        <v>19</v>
      </c>
      <c r="H7" s="3"/>
      <c r="I7" s="3" t="s">
        <v>20</v>
      </c>
      <c r="J7" s="3" t="s">
        <v>45</v>
      </c>
      <c r="K7" s="3" t="s">
        <v>46</v>
      </c>
      <c r="L7" s="3" t="s">
        <v>23</v>
      </c>
      <c r="M7" s="3" t="s">
        <v>43</v>
      </c>
      <c r="N7" s="3" t="s">
        <v>25</v>
      </c>
      <c r="O7" s="3">
        <v>-116.8595971999999</v>
      </c>
      <c r="P7" s="3">
        <v>33.033213200000027</v>
      </c>
    </row>
    <row r="8" spans="1:16" x14ac:dyDescent="0.15">
      <c r="A8" s="2">
        <v>7</v>
      </c>
      <c r="B8" s="3" t="s">
        <v>47</v>
      </c>
      <c r="C8" s="3" t="s">
        <v>17</v>
      </c>
      <c r="D8" s="3" t="s">
        <v>18</v>
      </c>
      <c r="E8" s="2">
        <v>1</v>
      </c>
      <c r="F8" s="4">
        <v>45637.333333333343</v>
      </c>
      <c r="G8" s="3" t="s">
        <v>19</v>
      </c>
      <c r="H8" s="3"/>
      <c r="I8" s="3" t="s">
        <v>27</v>
      </c>
      <c r="J8" s="3" t="s">
        <v>48</v>
      </c>
      <c r="K8" s="3" t="s">
        <v>49</v>
      </c>
      <c r="L8" s="3" t="s">
        <v>23</v>
      </c>
      <c r="M8" s="3" t="s">
        <v>50</v>
      </c>
      <c r="N8" s="3" t="s">
        <v>25</v>
      </c>
      <c r="O8" s="3">
        <v>-116.70244340000001</v>
      </c>
      <c r="P8" s="3">
        <v>32.853662100000072</v>
      </c>
    </row>
    <row r="9" spans="1:16" x14ac:dyDescent="0.15">
      <c r="A9" s="2">
        <v>8</v>
      </c>
      <c r="B9" s="3" t="s">
        <v>51</v>
      </c>
      <c r="C9" s="3" t="s">
        <v>17</v>
      </c>
      <c r="D9" s="3" t="s">
        <v>18</v>
      </c>
      <c r="E9" s="2">
        <v>1</v>
      </c>
      <c r="F9" s="4">
        <v>45637.333333333343</v>
      </c>
      <c r="G9" s="3" t="s">
        <v>19</v>
      </c>
      <c r="H9" s="3"/>
      <c r="I9" s="3" t="s">
        <v>27</v>
      </c>
      <c r="J9" s="3" t="s">
        <v>48</v>
      </c>
      <c r="K9" s="3" t="s">
        <v>52</v>
      </c>
      <c r="L9" s="3" t="s">
        <v>23</v>
      </c>
      <c r="M9" s="3" t="s">
        <v>50</v>
      </c>
      <c r="N9" s="3" t="s">
        <v>25</v>
      </c>
      <c r="O9" s="3">
        <v>-116.7081813999999</v>
      </c>
      <c r="P9" s="3">
        <v>32.84557570000004</v>
      </c>
    </row>
    <row r="10" spans="1:16" x14ac:dyDescent="0.15">
      <c r="A10" s="2">
        <v>9</v>
      </c>
      <c r="B10" s="3" t="s">
        <v>53</v>
      </c>
      <c r="C10" s="3" t="s">
        <v>17</v>
      </c>
      <c r="D10" s="3" t="s">
        <v>18</v>
      </c>
      <c r="E10" s="2">
        <v>1</v>
      </c>
      <c r="F10" s="4">
        <v>45637.572916666657</v>
      </c>
      <c r="G10" s="3" t="s">
        <v>19</v>
      </c>
      <c r="H10" s="3"/>
      <c r="I10" s="3" t="s">
        <v>27</v>
      </c>
      <c r="J10" s="3" t="s">
        <v>54</v>
      </c>
      <c r="K10" s="3" t="s">
        <v>55</v>
      </c>
      <c r="L10" s="3" t="s">
        <v>23</v>
      </c>
      <c r="M10" s="3" t="s">
        <v>43</v>
      </c>
      <c r="N10" s="3" t="s">
        <v>25</v>
      </c>
      <c r="O10" s="3">
        <v>-116.6058682</v>
      </c>
      <c r="P10" s="3">
        <v>33.073763500000041</v>
      </c>
    </row>
    <row r="11" spans="1:16" x14ac:dyDescent="0.15">
      <c r="A11" s="2">
        <v>10</v>
      </c>
      <c r="B11" s="3" t="s">
        <v>56</v>
      </c>
      <c r="C11" s="3" t="s">
        <v>17</v>
      </c>
      <c r="D11" s="3" t="s">
        <v>18</v>
      </c>
      <c r="E11" s="2">
        <v>1</v>
      </c>
      <c r="F11" s="4">
        <v>45637.333333333343</v>
      </c>
      <c r="G11" s="3" t="s">
        <v>19</v>
      </c>
      <c r="H11" s="3"/>
      <c r="I11" s="3" t="s">
        <v>27</v>
      </c>
      <c r="J11" s="3" t="s">
        <v>48</v>
      </c>
      <c r="K11" s="3" t="s">
        <v>57</v>
      </c>
      <c r="L11" s="3" t="s">
        <v>23</v>
      </c>
      <c r="M11" s="3" t="s">
        <v>50</v>
      </c>
      <c r="N11" s="3" t="s">
        <v>25</v>
      </c>
      <c r="O11" s="3">
        <v>-116.7277582</v>
      </c>
      <c r="P11" s="3">
        <v>32.833546700000063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tabSelected="1" topLeftCell="C1" workbookViewId="0">
      <selection activeCell="V2" sqref="V2:V11"/>
    </sheetView>
  </sheetViews>
  <sheetFormatPr baseColWidth="10" defaultColWidth="8.83203125" defaultRowHeight="13" x14ac:dyDescent="0.15"/>
  <cols>
    <col min="3" max="3" width="14.33203125" customWidth="1"/>
    <col min="6" max="6" width="18.83203125" customWidth="1"/>
    <col min="12" max="13" width="20.33203125" customWidth="1"/>
    <col min="21" max="21" width="12.1640625" customWidth="1"/>
    <col min="23" max="23" width="14.1640625" customWidth="1"/>
  </cols>
  <sheetData>
    <row r="1" spans="1:2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74</v>
      </c>
      <c r="N1" t="s">
        <v>12</v>
      </c>
      <c r="O1" t="s">
        <v>13</v>
      </c>
      <c r="P1" t="s">
        <v>14</v>
      </c>
      <c r="Q1" t="s">
        <v>15</v>
      </c>
      <c r="R1" s="6" t="s">
        <v>80</v>
      </c>
      <c r="S1" s="6" t="s">
        <v>81</v>
      </c>
      <c r="T1" s="6" t="s">
        <v>82</v>
      </c>
      <c r="U1" s="6" t="s">
        <v>83</v>
      </c>
      <c r="V1" s="6" t="s">
        <v>84</v>
      </c>
      <c r="W1" s="6" t="s">
        <v>85</v>
      </c>
      <c r="X1" s="6" t="s">
        <v>86</v>
      </c>
    </row>
    <row r="2" spans="1:24" x14ac:dyDescent="0.15">
      <c r="A2">
        <v>1</v>
      </c>
      <c r="B2" t="s">
        <v>16</v>
      </c>
      <c r="C2" t="s">
        <v>17</v>
      </c>
      <c r="D2" t="s">
        <v>18</v>
      </c>
      <c r="E2">
        <v>1</v>
      </c>
      <c r="F2" s="5">
        <v>45636.583333333343</v>
      </c>
      <c r="G2" t="s">
        <v>19</v>
      </c>
      <c r="I2" t="s">
        <v>20</v>
      </c>
      <c r="J2" t="s">
        <v>21</v>
      </c>
      <c r="K2" t="s">
        <v>22</v>
      </c>
      <c r="L2" t="s">
        <v>23</v>
      </c>
      <c r="M2" s="6" t="s">
        <v>75</v>
      </c>
      <c r="N2" t="s">
        <v>24</v>
      </c>
      <c r="O2" t="s">
        <v>25</v>
      </c>
      <c r="P2">
        <v>-117.0878246999999</v>
      </c>
      <c r="Q2">
        <v>33.185158300000069</v>
      </c>
      <c r="R2" t="s">
        <v>58</v>
      </c>
      <c r="S2" t="s">
        <v>59</v>
      </c>
      <c r="T2">
        <v>2.2999999999999998</v>
      </c>
      <c r="U2" t="s">
        <v>60</v>
      </c>
      <c r="V2" s="7">
        <v>44.86</v>
      </c>
      <c r="W2">
        <v>2444</v>
      </c>
      <c r="X2">
        <f>W2/72/10</f>
        <v>3.3944444444444444</v>
      </c>
    </row>
    <row r="3" spans="1:24" x14ac:dyDescent="0.15">
      <c r="A3">
        <v>2</v>
      </c>
      <c r="B3" t="s">
        <v>26</v>
      </c>
      <c r="C3" t="s">
        <v>17</v>
      </c>
      <c r="D3" t="s">
        <v>18</v>
      </c>
      <c r="E3">
        <v>1</v>
      </c>
      <c r="F3" s="5">
        <v>45637.416666666657</v>
      </c>
      <c r="G3" t="s">
        <v>19</v>
      </c>
      <c r="I3" t="s">
        <v>27</v>
      </c>
      <c r="J3" t="s">
        <v>28</v>
      </c>
      <c r="K3" t="s">
        <v>29</v>
      </c>
      <c r="L3" t="s">
        <v>23</v>
      </c>
      <c r="M3" s="6" t="s">
        <v>76</v>
      </c>
      <c r="N3" t="s">
        <v>30</v>
      </c>
      <c r="O3" t="s">
        <v>25</v>
      </c>
      <c r="P3">
        <v>-116.63512469999991</v>
      </c>
      <c r="Q3">
        <v>32.905702900000051</v>
      </c>
      <c r="R3" t="s">
        <v>61</v>
      </c>
      <c r="S3" t="s">
        <v>59</v>
      </c>
      <c r="T3">
        <v>2.4</v>
      </c>
      <c r="U3" t="s">
        <v>62</v>
      </c>
      <c r="V3" s="7">
        <v>72.040000000000006</v>
      </c>
      <c r="W3">
        <v>1568</v>
      </c>
      <c r="X3">
        <f t="shared" ref="X3:X11" si="0">W3/72/10</f>
        <v>2.177777777777778</v>
      </c>
    </row>
    <row r="4" spans="1:24" x14ac:dyDescent="0.15">
      <c r="A4">
        <v>3</v>
      </c>
      <c r="B4" t="s">
        <v>31</v>
      </c>
      <c r="C4" t="s">
        <v>17</v>
      </c>
      <c r="D4" t="s">
        <v>18</v>
      </c>
      <c r="E4">
        <v>1</v>
      </c>
      <c r="F4" s="5">
        <v>45637.354166666657</v>
      </c>
      <c r="G4" t="s">
        <v>32</v>
      </c>
      <c r="I4" t="s">
        <v>27</v>
      </c>
      <c r="J4" t="s">
        <v>33</v>
      </c>
      <c r="K4" t="s">
        <v>34</v>
      </c>
      <c r="L4" t="s">
        <v>35</v>
      </c>
      <c r="M4" s="6" t="s">
        <v>77</v>
      </c>
      <c r="N4" t="s">
        <v>24</v>
      </c>
      <c r="O4" t="s">
        <v>25</v>
      </c>
      <c r="P4">
        <v>-117.15173159999991</v>
      </c>
      <c r="Q4">
        <v>33.331880100000028</v>
      </c>
      <c r="R4" t="s">
        <v>63</v>
      </c>
      <c r="S4" t="s">
        <v>59</v>
      </c>
      <c r="T4">
        <v>1.82</v>
      </c>
      <c r="U4" t="s">
        <v>64</v>
      </c>
      <c r="V4" s="7">
        <v>19.579999999999998</v>
      </c>
      <c r="W4">
        <v>413</v>
      </c>
      <c r="X4">
        <f t="shared" si="0"/>
        <v>0.57361111111111107</v>
      </c>
    </row>
    <row r="5" spans="1:24" x14ac:dyDescent="0.15">
      <c r="A5">
        <v>4</v>
      </c>
      <c r="B5" t="s">
        <v>36</v>
      </c>
      <c r="C5" t="s">
        <v>17</v>
      </c>
      <c r="D5" t="s">
        <v>18</v>
      </c>
      <c r="E5">
        <v>1</v>
      </c>
      <c r="F5" s="5">
        <v>45637.364583333343</v>
      </c>
      <c r="G5" t="s">
        <v>37</v>
      </c>
      <c r="I5" t="s">
        <v>20</v>
      </c>
      <c r="J5" t="s">
        <v>38</v>
      </c>
      <c r="K5" t="s">
        <v>39</v>
      </c>
      <c r="L5" t="s">
        <v>23</v>
      </c>
      <c r="M5" s="6" t="s">
        <v>76</v>
      </c>
      <c r="N5" t="s">
        <v>24</v>
      </c>
      <c r="O5" t="s">
        <v>25</v>
      </c>
      <c r="P5">
        <v>-117.136244101</v>
      </c>
      <c r="Q5">
        <v>33.059590100000037</v>
      </c>
      <c r="R5" t="s">
        <v>65</v>
      </c>
      <c r="S5" t="s">
        <v>59</v>
      </c>
      <c r="T5">
        <v>2.12</v>
      </c>
      <c r="U5" t="s">
        <v>66</v>
      </c>
      <c r="V5" s="7">
        <v>50.93</v>
      </c>
      <c r="W5">
        <v>4363</v>
      </c>
      <c r="X5">
        <f t="shared" si="0"/>
        <v>6.0597222222222218</v>
      </c>
    </row>
    <row r="6" spans="1:24" x14ac:dyDescent="0.15">
      <c r="A6">
        <v>5</v>
      </c>
      <c r="B6" t="s">
        <v>40</v>
      </c>
      <c r="C6" t="s">
        <v>17</v>
      </c>
      <c r="D6" t="s">
        <v>18</v>
      </c>
      <c r="E6">
        <v>1</v>
      </c>
      <c r="F6" s="5">
        <v>45637.333333333343</v>
      </c>
      <c r="G6" t="s">
        <v>37</v>
      </c>
      <c r="I6" t="s">
        <v>20</v>
      </c>
      <c r="J6" t="s">
        <v>41</v>
      </c>
      <c r="K6" t="s">
        <v>42</v>
      </c>
      <c r="L6" t="s">
        <v>23</v>
      </c>
      <c r="M6" s="6" t="s">
        <v>78</v>
      </c>
      <c r="N6" t="s">
        <v>43</v>
      </c>
      <c r="O6" t="s">
        <v>25</v>
      </c>
      <c r="P6">
        <v>-116.8914588</v>
      </c>
      <c r="Q6">
        <v>33.02154900000005</v>
      </c>
      <c r="R6" t="s">
        <v>67</v>
      </c>
      <c r="S6" t="s">
        <v>59</v>
      </c>
      <c r="T6">
        <v>2.64</v>
      </c>
      <c r="U6" t="s">
        <v>68</v>
      </c>
      <c r="V6" s="7">
        <v>43.18</v>
      </c>
      <c r="W6">
        <v>3305</v>
      </c>
      <c r="X6">
        <f t="shared" si="0"/>
        <v>4.5902777777777777</v>
      </c>
    </row>
    <row r="7" spans="1:24" x14ac:dyDescent="0.15">
      <c r="A7">
        <v>6</v>
      </c>
      <c r="B7" t="s">
        <v>44</v>
      </c>
      <c r="C7" t="s">
        <v>17</v>
      </c>
      <c r="D7" t="s">
        <v>18</v>
      </c>
      <c r="E7">
        <v>1</v>
      </c>
      <c r="F7" s="5">
        <v>45637.416666666657</v>
      </c>
      <c r="G7" t="s">
        <v>19</v>
      </c>
      <c r="I7" t="s">
        <v>20</v>
      </c>
      <c r="J7" t="s">
        <v>45</v>
      </c>
      <c r="K7" t="s">
        <v>46</v>
      </c>
      <c r="L7" t="s">
        <v>23</v>
      </c>
      <c r="M7" s="6" t="s">
        <v>76</v>
      </c>
      <c r="N7" t="s">
        <v>43</v>
      </c>
      <c r="O7" t="s">
        <v>25</v>
      </c>
      <c r="P7">
        <v>-116.8595971999999</v>
      </c>
      <c r="Q7">
        <v>33.033213200000027</v>
      </c>
      <c r="R7" t="s">
        <v>69</v>
      </c>
      <c r="S7" t="s">
        <v>59</v>
      </c>
      <c r="T7">
        <v>1.85</v>
      </c>
      <c r="U7" t="s">
        <v>70</v>
      </c>
      <c r="V7" s="7">
        <v>54.65</v>
      </c>
      <c r="W7">
        <v>3422</v>
      </c>
      <c r="X7">
        <f t="shared" si="0"/>
        <v>4.7527777777777782</v>
      </c>
    </row>
    <row r="8" spans="1:24" x14ac:dyDescent="0.15">
      <c r="A8">
        <v>7</v>
      </c>
      <c r="B8" t="s">
        <v>47</v>
      </c>
      <c r="C8" t="s">
        <v>17</v>
      </c>
      <c r="D8" t="s">
        <v>18</v>
      </c>
      <c r="E8">
        <v>1</v>
      </c>
      <c r="F8" s="5">
        <v>45637.333333333343</v>
      </c>
      <c r="G8" t="s">
        <v>19</v>
      </c>
      <c r="I8" t="s">
        <v>27</v>
      </c>
      <c r="J8" t="s">
        <v>48</v>
      </c>
      <c r="K8" t="s">
        <v>49</v>
      </c>
      <c r="L8" t="s">
        <v>23</v>
      </c>
      <c r="M8" s="6" t="s">
        <v>79</v>
      </c>
      <c r="N8" t="s">
        <v>50</v>
      </c>
      <c r="O8" t="s">
        <v>25</v>
      </c>
      <c r="P8">
        <v>-116.70244340000001</v>
      </c>
      <c r="Q8">
        <v>32.853662100000072</v>
      </c>
      <c r="R8" t="s">
        <v>71</v>
      </c>
      <c r="S8" t="s">
        <v>59</v>
      </c>
      <c r="T8">
        <v>1.63</v>
      </c>
      <c r="U8" t="s">
        <v>66</v>
      </c>
      <c r="V8" s="7">
        <v>72.260000000000005</v>
      </c>
      <c r="W8">
        <v>2644</v>
      </c>
      <c r="X8">
        <f t="shared" si="0"/>
        <v>3.6722222222222221</v>
      </c>
    </row>
    <row r="9" spans="1:24" x14ac:dyDescent="0.15">
      <c r="A9">
        <v>8</v>
      </c>
      <c r="B9" t="s">
        <v>51</v>
      </c>
      <c r="C9" t="s">
        <v>17</v>
      </c>
      <c r="D9" t="s">
        <v>18</v>
      </c>
      <c r="E9">
        <v>1</v>
      </c>
      <c r="F9" s="5">
        <v>45637.333333333343</v>
      </c>
      <c r="G9" t="s">
        <v>19</v>
      </c>
      <c r="I9" t="s">
        <v>27</v>
      </c>
      <c r="J9" t="s">
        <v>48</v>
      </c>
      <c r="K9" t="s">
        <v>52</v>
      </c>
      <c r="L9" t="s">
        <v>23</v>
      </c>
      <c r="M9" s="6" t="s">
        <v>76</v>
      </c>
      <c r="N9" t="s">
        <v>50</v>
      </c>
      <c r="O9" t="s">
        <v>25</v>
      </c>
      <c r="P9">
        <v>-116.7081813999999</v>
      </c>
      <c r="Q9">
        <v>32.84557570000004</v>
      </c>
      <c r="R9" t="s">
        <v>71</v>
      </c>
      <c r="S9" t="s">
        <v>59</v>
      </c>
      <c r="T9">
        <v>1.6</v>
      </c>
      <c r="U9" t="s">
        <v>66</v>
      </c>
      <c r="V9" s="7">
        <v>72.260000000000005</v>
      </c>
      <c r="W9">
        <v>3057</v>
      </c>
      <c r="X9">
        <f t="shared" si="0"/>
        <v>4.2458333333333336</v>
      </c>
    </row>
    <row r="10" spans="1:24" x14ac:dyDescent="0.15">
      <c r="A10">
        <v>9</v>
      </c>
      <c r="B10" t="s">
        <v>53</v>
      </c>
      <c r="C10" t="s">
        <v>17</v>
      </c>
      <c r="D10" t="s">
        <v>18</v>
      </c>
      <c r="E10">
        <v>1</v>
      </c>
      <c r="F10" s="5">
        <v>45637.572916666657</v>
      </c>
      <c r="G10" t="s">
        <v>19</v>
      </c>
      <c r="I10" t="s">
        <v>27</v>
      </c>
      <c r="J10" t="s">
        <v>54</v>
      </c>
      <c r="K10" t="s">
        <v>55</v>
      </c>
      <c r="L10" t="s">
        <v>23</v>
      </c>
      <c r="M10" s="6" t="s">
        <v>76</v>
      </c>
      <c r="N10" t="s">
        <v>43</v>
      </c>
      <c r="O10" t="s">
        <v>25</v>
      </c>
      <c r="P10">
        <v>-116.6058682</v>
      </c>
      <c r="Q10">
        <v>33.073763500000041</v>
      </c>
      <c r="R10" t="s">
        <v>72</v>
      </c>
      <c r="S10" t="s">
        <v>59</v>
      </c>
      <c r="T10">
        <v>2.14</v>
      </c>
      <c r="U10" t="s">
        <v>73</v>
      </c>
      <c r="V10" s="7">
        <v>53.48</v>
      </c>
      <c r="W10">
        <v>1923</v>
      </c>
      <c r="X10">
        <f t="shared" si="0"/>
        <v>2.6708333333333334</v>
      </c>
    </row>
    <row r="11" spans="1:24" x14ac:dyDescent="0.15">
      <c r="A11">
        <v>10</v>
      </c>
      <c r="B11" t="s">
        <v>56</v>
      </c>
      <c r="C11" t="s">
        <v>17</v>
      </c>
      <c r="D11" t="s">
        <v>18</v>
      </c>
      <c r="E11">
        <v>1</v>
      </c>
      <c r="F11" s="5">
        <v>45637.333333333343</v>
      </c>
      <c r="G11" t="s">
        <v>19</v>
      </c>
      <c r="I11" t="s">
        <v>27</v>
      </c>
      <c r="J11" t="s">
        <v>48</v>
      </c>
      <c r="K11" t="s">
        <v>57</v>
      </c>
      <c r="L11" t="s">
        <v>23</v>
      </c>
      <c r="M11" s="6" t="s">
        <v>76</v>
      </c>
      <c r="N11" t="s">
        <v>50</v>
      </c>
      <c r="O11" t="s">
        <v>25</v>
      </c>
      <c r="P11">
        <v>-116.7277582</v>
      </c>
      <c r="Q11">
        <v>32.833546700000063</v>
      </c>
      <c r="R11" t="s">
        <v>71</v>
      </c>
      <c r="S11" t="s">
        <v>59</v>
      </c>
      <c r="T11">
        <v>2.64</v>
      </c>
      <c r="U11" t="s">
        <v>66</v>
      </c>
      <c r="V11" s="7">
        <v>72.260000000000005</v>
      </c>
      <c r="W11">
        <v>3554</v>
      </c>
      <c r="X11">
        <f t="shared" si="0"/>
        <v>4.9361111111111118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SDGE_PspsEventDamagePoint_2024</vt:lpstr>
      <vt:lpstr>SDGE24WIND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Mitchell</cp:lastModifiedBy>
  <dcterms:created xsi:type="dcterms:W3CDTF">2025-06-05T16:11:25Z</dcterms:created>
  <dcterms:modified xsi:type="dcterms:W3CDTF">2025-06-06T01:16:09Z</dcterms:modified>
</cp:coreProperties>
</file>